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<sst xmlns="http://schemas.openxmlformats.org/spreadsheetml/2006/main" count="203" uniqueCount="123">
  <si>
    <t>Step_1_Copy Original Data Here</t>
  </si>
  <si>
    <t>Step_2_Calculate Background Average</t>
  </si>
  <si>
    <t>Standard</t>
  </si>
  <si>
    <t>Sample Background Average</t>
  </si>
  <si>
    <t>A</t>
  </si>
  <si>
    <t>&lt;---You need to calculate this manually</t>
  </si>
  <si>
    <t>B</t>
  </si>
  <si>
    <t>Standard Blank Average</t>
  </si>
  <si>
    <t>C</t>
  </si>
  <si>
    <t>D</t>
  </si>
  <si>
    <t>E</t>
  </si>
  <si>
    <t>F</t>
  </si>
  <si>
    <t>G</t>
  </si>
  <si>
    <t>H</t>
  </si>
  <si>
    <t>Step_4.2_Plot the Standard Line</t>
  </si>
  <si>
    <t>Step_4.1_Paste the blue box into JMP, detailed instructions to your right</t>
  </si>
  <si>
    <t>Use JMP</t>
  </si>
  <si>
    <t>Step_3_Normalized data: Original Sample Data - Sample Background (Original Standard Data - Standard Blank Average)</t>
  </si>
  <si>
    <t>Continous variable (Y)</t>
  </si>
  <si>
    <t>Response variable (X)</t>
  </si>
  <si>
    <t>1. New data table</t>
  </si>
  <si>
    <t>Standard NADH Amount uM</t>
  </si>
  <si>
    <t>Standard Average OD450</t>
  </si>
  <si>
    <t>2. Paste blue box</t>
  </si>
  <si>
    <t>3. Analyze - Fit Y by X</t>
  </si>
  <si>
    <t>4. Put column 1 to Y response and column2  to X factor, then OK</t>
  </si>
  <si>
    <r>
      <rPr>
        <sz val="12"/>
        <color theme="1"/>
        <rFont val="Calibri"/>
        <charset val="134"/>
        <scheme val="minor"/>
      </rPr>
      <t xml:space="preserve">5. Press </t>
    </r>
    <r>
      <rPr>
        <sz val="12"/>
        <color rgb="FFFF0000"/>
        <rFont val="Aptos Narrow (Body)"/>
        <charset val="134"/>
      </rPr>
      <t>▼</t>
    </r>
  </si>
  <si>
    <t>6. Fit Line</t>
  </si>
  <si>
    <t>7. Save predict</t>
  </si>
  <si>
    <r>
      <t>8. Copy column "</t>
    </r>
    <r>
      <rPr>
        <sz val="12"/>
        <color theme="9"/>
        <rFont val="Calibri"/>
        <charset val="134"/>
        <scheme val="minor"/>
      </rPr>
      <t>Reading</t>
    </r>
    <r>
      <rPr>
        <sz val="12"/>
        <color theme="1"/>
        <rFont val="Calibri"/>
        <charset val="134"/>
        <scheme val="minor"/>
      </rPr>
      <t>" and paste to column two in JMP</t>
    </r>
  </si>
  <si>
    <r>
      <t>9. copy the Predicted Column 1 in JMP to column "</t>
    </r>
    <r>
      <rPr>
        <sz val="12"/>
        <color theme="7"/>
        <rFont val="Calibri"/>
        <charset val="134"/>
        <scheme val="minor"/>
      </rPr>
      <t>Predicted Value"</t>
    </r>
  </si>
  <si>
    <t>Step_4.3</t>
  </si>
  <si>
    <t>Well</t>
  </si>
  <si>
    <t>Reading</t>
  </si>
  <si>
    <t>Predicted Value</t>
  </si>
  <si>
    <t>Step_5_Enter the sample volume you added to each well</t>
  </si>
  <si>
    <t>A3</t>
  </si>
  <si>
    <t>Sample Volume added (uL)</t>
  </si>
  <si>
    <t>B3</t>
  </si>
  <si>
    <t>C3</t>
  </si>
  <si>
    <t>N/A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</si>
  <si>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</si>
  <si>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</si>
  <si>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</si>
  <si>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</si>
  <si>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</si>
  <si>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</si>
  <si>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</si>
  <si>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</si>
  <si>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</si>
  <si>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Step_6_Enter the dilution factor you used for each well</t>
  </si>
  <si>
    <t>E4</t>
  </si>
  <si>
    <t>Sample Dilution Factor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</si>
  <si>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</si>
  <si>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</si>
  <si>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</si>
  <si>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</si>
  <si>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</si>
  <si>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</si>
  <si>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</si>
  <si>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</si>
  <si>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</si>
  <si>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</si>
  <si>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</si>
  <si>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 xml:space="preserve">Step_7_You now have the concentrations for each well. </t>
  </si>
  <si>
    <t>A6</t>
  </si>
  <si>
    <t>NADH Concentration (pmol/uL=uM)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</si>
  <si>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</si>
  <si>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</si>
  <si>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</si>
  <si>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</si>
  <si>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</si>
  <si>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</si>
  <si>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</si>
  <si>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</si>
  <si>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</si>
  <si>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</si>
  <si>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</si>
  <si>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Step_8_Calculating NAD+ concentration by: subtracting NADdecomposed from NADtotal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</si>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</sst>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theme="7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7"/>
      <name val="Calibri"/>
      <charset val="134"/>
      <scheme val="minor"/>
    </font>
    <font>
      <sz val="12"/>
      <color theme="9"/>
      <name val="Calibri"/>
      <charset val="134"/>
      <scheme val="minor"/>
    </font>
    <font>
      <sz val="12"/>
      <color rgb="FFFF0000"/>
      <name val="Aptos Narrow (Body)"/>
      <charset val="134"/>
    </font>
  </fonts>
  <fills count="4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1" fontId="0" fillId="3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0" fillId="4" borderId="0" xfId="0" applyFont="1" applyFill="1" applyAlignment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/>
    <xf numFmtId="0" fontId="3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3" xfId="0" applyFont="1" applyFill="1" applyBorder="1" applyAlignment="1"/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6" borderId="0" xfId="0" applyFill="1">
      <alignment vertical="center"/>
    </xf>
    <xf numFmtId="0" fontId="0" fillId="6" borderId="0" xfId="0" applyFill="1" applyAlignment="1">
      <alignment vertical="center" wrapText="1"/>
    </xf>
    <xf numFmtId="0" fontId="0" fillId="7" borderId="0" xfId="0" applyFill="1">
      <alignment vertical="center"/>
    </xf>
    <xf numFmtId="0" fontId="1" fillId="2" borderId="0" xfId="0" applyFont="1" applyFill="1">
      <alignment vertical="center"/>
    </xf>
    <xf numFmtId="0" fontId="0" fillId="8" borderId="0" xfId="0" applyFill="1" applyAlignment="1">
      <alignment vertical="center"/>
    </xf>
    <xf numFmtId="0" fontId="0" fillId="8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/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127"/>
  <sheetViews>
    <sheetView tabSelected="1" zoomScale="58" zoomScaleNormal="58" workbookViewId="0">
      <selection activeCell="P68" sqref="P68"/>
    </sheetView>
  </sheetViews>
  <sheetFormatPr defaultColWidth="9" defaultRowHeight="16.8"/>
  <cols>
    <col min="3" max="6" width="13.8125"/>
    <col min="7" max="8" width="12.6875"/>
    <col min="9" max="9" width="17.8984375" customWidth="1"/>
    <col min="10" max="10" width="15.375" customWidth="1"/>
    <col min="11" max="11" width="17.453125" customWidth="1"/>
    <col min="12" max="12" width="20.4140625" customWidth="1"/>
    <col min="13" max="13" width="13.8125"/>
    <col min="14" max="14" width="16.984375" customWidth="1"/>
    <col min="15" max="15" width="13.8125"/>
    <col min="16" max="16" width="23.53125" customWidth="1"/>
    <col min="17" max="17" width="34.0546875" customWidth="1"/>
    <col min="18" max="18" width="13.8984375" customWidth="1"/>
    <col min="19" max="19" width="33.921875" customWidth="1"/>
    <col min="20" max="20" width="13.015625" customWidth="1"/>
    <col min="21" max="21" width="12.6875"/>
  </cols>
  <sheetData>
    <row r="2" spans="2:17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Q2" s="35" t="s">
        <v>1</v>
      </c>
    </row>
    <row r="3" spans="2:17">
      <c r="B3" s="3"/>
      <c r="C3" s="4" t="s">
        <v>2</v>
      </c>
      <c r="D3" s="4" t="s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P3" s="30"/>
      <c r="Q3" s="36" t="s">
        <v>3</v>
      </c>
    </row>
    <row r="4" spans="2:19">
      <c r="B4" s="5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P4" s="31"/>
      <c r="Q4" s="37">
        <f>(F10+G10+H10+I10+J10+K10+L10+M10+F11+G11+H11+I11+J11+K11+L11+M11)/16</f>
        <v>0</v>
      </c>
      <c r="R4" s="35" t="s">
        <v>5</v>
      </c>
      <c r="S4" s="38"/>
    </row>
    <row r="5" spans="2:17">
      <c r="B5" s="5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P5" s="27"/>
      <c r="Q5" s="37" t="s">
        <v>7</v>
      </c>
    </row>
    <row r="6" spans="2:17">
      <c r="B6" s="5" t="s">
        <v>8</v>
      </c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7"/>
      <c r="P6" s="27"/>
      <c r="Q6" s="37">
        <f>(C4+D4)/2</f>
        <v>0</v>
      </c>
    </row>
    <row r="7" spans="2:17">
      <c r="B7" s="5" t="s">
        <v>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P7" s="27"/>
      <c r="Q7" s="37"/>
    </row>
    <row r="8" spans="2:20">
      <c r="B8" s="5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P8" s="27"/>
      <c r="Q8" s="37"/>
      <c r="T8" s="39"/>
    </row>
    <row r="9" ht="17.6" spans="2:20">
      <c r="B9" s="5" t="s">
        <v>11</v>
      </c>
      <c r="C9" s="6"/>
      <c r="D9" s="6"/>
      <c r="E9" s="6"/>
      <c r="F9" s="6"/>
      <c r="G9" s="6"/>
      <c r="H9" s="6"/>
      <c r="I9" s="6"/>
      <c r="J9" s="6"/>
      <c r="K9" s="7"/>
      <c r="L9" s="7"/>
      <c r="M9" s="7"/>
      <c r="N9" s="7"/>
      <c r="P9" s="27"/>
      <c r="Q9" s="37"/>
      <c r="T9" s="40"/>
    </row>
    <row r="10" ht="17.6" spans="2:20">
      <c r="B10" s="5" t="s">
        <v>12</v>
      </c>
      <c r="C10" s="7"/>
      <c r="D10" s="7"/>
      <c r="E10" s="7"/>
      <c r="F10" s="6"/>
      <c r="G10" s="6"/>
      <c r="H10" s="6"/>
      <c r="I10" s="6"/>
      <c r="J10" s="6"/>
      <c r="K10" s="6"/>
      <c r="L10" s="6"/>
      <c r="M10" s="6"/>
      <c r="N10" s="7"/>
      <c r="P10" s="27"/>
      <c r="Q10" s="37"/>
      <c r="T10" s="41"/>
    </row>
    <row r="11" ht="17.6" spans="2:20">
      <c r="B11" s="5" t="s">
        <v>13</v>
      </c>
      <c r="C11" s="7"/>
      <c r="D11" s="7"/>
      <c r="E11" s="7"/>
      <c r="F11" s="6"/>
      <c r="G11" s="6"/>
      <c r="H11" s="6"/>
      <c r="I11" s="6"/>
      <c r="J11" s="6"/>
      <c r="K11" s="6"/>
      <c r="L11" s="6"/>
      <c r="M11" s="6"/>
      <c r="N11" s="7"/>
      <c r="P11" s="27"/>
      <c r="Q11" s="37"/>
      <c r="S11" s="35" t="s">
        <v>14</v>
      </c>
      <c r="T11" s="41"/>
    </row>
    <row r="12" ht="17.6" spans="16:20">
      <c r="P12" s="13" t="s">
        <v>15</v>
      </c>
      <c r="Q12" s="15"/>
      <c r="S12" s="42" t="s">
        <v>16</v>
      </c>
      <c r="T12" s="41"/>
    </row>
    <row r="13" ht="17.6" spans="2:20">
      <c r="B13" s="1" t="s">
        <v>17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P13" s="32" t="s">
        <v>18</v>
      </c>
      <c r="Q13" s="32" t="s">
        <v>19</v>
      </c>
      <c r="S13" s="43" t="s">
        <v>20</v>
      </c>
      <c r="T13" s="41"/>
    </row>
    <row r="14" ht="34" spans="2:20">
      <c r="B14" s="9"/>
      <c r="C14" s="10">
        <v>1</v>
      </c>
      <c r="D14" s="10">
        <v>2</v>
      </c>
      <c r="E14" s="10">
        <v>3</v>
      </c>
      <c r="F14" s="10">
        <v>4</v>
      </c>
      <c r="G14" s="10">
        <v>5</v>
      </c>
      <c r="H14" s="10">
        <v>6</v>
      </c>
      <c r="I14" s="10">
        <v>7</v>
      </c>
      <c r="J14" s="10">
        <v>8</v>
      </c>
      <c r="K14" s="10">
        <v>9</v>
      </c>
      <c r="L14" s="10">
        <v>10</v>
      </c>
      <c r="M14" s="10">
        <v>11</v>
      </c>
      <c r="N14" s="10">
        <v>12</v>
      </c>
      <c r="P14" s="33" t="s">
        <v>21</v>
      </c>
      <c r="Q14" s="32" t="s">
        <v>22</v>
      </c>
      <c r="S14" s="43" t="s">
        <v>23</v>
      </c>
      <c r="T14" s="41"/>
    </row>
    <row r="15" ht="17.6" spans="2:20">
      <c r="B15" s="11" t="s">
        <v>4</v>
      </c>
      <c r="C15" s="12">
        <f t="shared" ref="C15:C20" si="0">C4-$Q$6</f>
        <v>0</v>
      </c>
      <c r="D15" s="12">
        <f t="shared" ref="D15:D20" si="1">D4-$Q$6</f>
        <v>0</v>
      </c>
      <c r="E15" s="12">
        <f t="shared" ref="D15:N15" si="2">E4-$Q$4</f>
        <v>0</v>
      </c>
      <c r="F15" s="12">
        <f t="shared" si="2"/>
        <v>0</v>
      </c>
      <c r="G15" s="12">
        <f t="shared" si="2"/>
        <v>0</v>
      </c>
      <c r="H15" s="12">
        <f t="shared" si="2"/>
        <v>0</v>
      </c>
      <c r="I15" s="12">
        <f t="shared" si="2"/>
        <v>0</v>
      </c>
      <c r="J15" s="12">
        <f t="shared" si="2"/>
        <v>0</v>
      </c>
      <c r="K15" s="12">
        <f t="shared" si="2"/>
        <v>0</v>
      </c>
      <c r="L15" s="12">
        <f t="shared" si="2"/>
        <v>0</v>
      </c>
      <c r="M15" s="12">
        <f t="shared" si="2"/>
        <v>0</v>
      </c>
      <c r="N15" s="12">
        <f t="shared" si="2"/>
        <v>0</v>
      </c>
      <c r="P15" s="34">
        <v>0</v>
      </c>
      <c r="Q15" s="34">
        <v>0</v>
      </c>
      <c r="S15" s="43" t="s">
        <v>24</v>
      </c>
      <c r="T15" s="41"/>
    </row>
    <row r="16" ht="17.6" spans="2:20">
      <c r="B16" s="11" t="s">
        <v>6</v>
      </c>
      <c r="C16" s="12">
        <f t="shared" si="0"/>
        <v>0</v>
      </c>
      <c r="D16" s="12">
        <f t="shared" si="1"/>
        <v>0</v>
      </c>
      <c r="E16" s="12">
        <f t="shared" ref="E16:E22" si="3">E5-$Q$4</f>
        <v>0</v>
      </c>
      <c r="F16" s="12">
        <f t="shared" ref="F16:F22" si="4">F5-$Q$4</f>
        <v>0</v>
      </c>
      <c r="G16" s="12">
        <f t="shared" ref="G16:G22" si="5">G5-$Q$4</f>
        <v>0</v>
      </c>
      <c r="H16" s="12">
        <f t="shared" ref="H16:H22" si="6">H5-$Q$4</f>
        <v>0</v>
      </c>
      <c r="I16" s="12">
        <f t="shared" ref="I16:I22" si="7">I5-$Q$4</f>
        <v>0</v>
      </c>
      <c r="J16" s="12">
        <f t="shared" ref="J16:J22" si="8">J5-$Q$4</f>
        <v>0</v>
      </c>
      <c r="K16" s="12">
        <f t="shared" ref="K16:K22" si="9">K5-$Q$4</f>
        <v>0</v>
      </c>
      <c r="L16" s="12">
        <f t="shared" ref="L16:L22" si="10">L5-$Q$4</f>
        <v>0</v>
      </c>
      <c r="M16" s="12">
        <f t="shared" ref="M16:M22" si="11">M5-$Q$4</f>
        <v>0</v>
      </c>
      <c r="N16" s="12">
        <f t="shared" ref="N16:N22" si="12">N5-$Q$4</f>
        <v>0</v>
      </c>
      <c r="P16" s="34">
        <v>20</v>
      </c>
      <c r="Q16" s="34">
        <f t="shared" ref="Q15:Q20" si="13">(C16+D16)/2</f>
        <v>0</v>
      </c>
      <c r="S16" s="43" t="s">
        <v>25</v>
      </c>
      <c r="T16" s="41"/>
    </row>
    <row r="17" ht="18" spans="2:20">
      <c r="B17" s="11" t="s">
        <v>8</v>
      </c>
      <c r="C17" s="12">
        <f t="shared" si="0"/>
        <v>0</v>
      </c>
      <c r="D17" s="12">
        <f t="shared" si="1"/>
        <v>0</v>
      </c>
      <c r="E17" s="12">
        <f t="shared" si="3"/>
        <v>0</v>
      </c>
      <c r="F17" s="12">
        <f t="shared" si="4"/>
        <v>0</v>
      </c>
      <c r="G17" s="12">
        <f t="shared" si="5"/>
        <v>0</v>
      </c>
      <c r="H17" s="12">
        <f t="shared" si="6"/>
        <v>0</v>
      </c>
      <c r="I17" s="12">
        <f t="shared" si="7"/>
        <v>0</v>
      </c>
      <c r="J17" s="12">
        <f t="shared" si="8"/>
        <v>0</v>
      </c>
      <c r="K17" s="12">
        <f t="shared" si="9"/>
        <v>0</v>
      </c>
      <c r="L17" s="12">
        <f t="shared" si="10"/>
        <v>0</v>
      </c>
      <c r="M17" s="12">
        <f t="shared" si="11"/>
        <v>0</v>
      </c>
      <c r="N17" s="12">
        <f t="shared" si="12"/>
        <v>0</v>
      </c>
      <c r="P17" s="34">
        <v>40</v>
      </c>
      <c r="Q17" s="34">
        <f t="shared" si="13"/>
        <v>0</v>
      </c>
      <c r="S17" s="43" t="s">
        <v>26</v>
      </c>
      <c r="T17" s="41"/>
    </row>
    <row r="18" ht="17.6" spans="2:20">
      <c r="B18" s="11" t="s">
        <v>9</v>
      </c>
      <c r="C18" s="12">
        <f t="shared" si="0"/>
        <v>0</v>
      </c>
      <c r="D18" s="12">
        <f t="shared" si="1"/>
        <v>0</v>
      </c>
      <c r="E18" s="12">
        <f t="shared" si="3"/>
        <v>0</v>
      </c>
      <c r="F18" s="12">
        <f t="shared" si="4"/>
        <v>0</v>
      </c>
      <c r="G18" s="12">
        <f t="shared" si="5"/>
        <v>0</v>
      </c>
      <c r="H18" s="12">
        <f t="shared" si="6"/>
        <v>0</v>
      </c>
      <c r="I18" s="12">
        <f t="shared" si="7"/>
        <v>0</v>
      </c>
      <c r="J18" s="12">
        <f t="shared" si="8"/>
        <v>0</v>
      </c>
      <c r="K18" s="12">
        <f t="shared" si="9"/>
        <v>0</v>
      </c>
      <c r="L18" s="12">
        <f t="shared" si="10"/>
        <v>0</v>
      </c>
      <c r="M18" s="12">
        <f t="shared" si="11"/>
        <v>0</v>
      </c>
      <c r="N18" s="12">
        <f t="shared" si="12"/>
        <v>0</v>
      </c>
      <c r="P18" s="34">
        <v>60</v>
      </c>
      <c r="Q18" s="34">
        <f t="shared" si="13"/>
        <v>0</v>
      </c>
      <c r="S18" s="43" t="s">
        <v>27</v>
      </c>
      <c r="T18" s="41"/>
    </row>
    <row r="19" ht="17.6" spans="2:19">
      <c r="B19" s="11" t="s">
        <v>10</v>
      </c>
      <c r="C19" s="12">
        <f t="shared" si="0"/>
        <v>0</v>
      </c>
      <c r="D19" s="12">
        <f t="shared" si="1"/>
        <v>0</v>
      </c>
      <c r="E19" s="12">
        <f t="shared" si="3"/>
        <v>0</v>
      </c>
      <c r="F19" s="12">
        <f t="shared" si="4"/>
        <v>0</v>
      </c>
      <c r="G19" s="12">
        <f t="shared" si="5"/>
        <v>0</v>
      </c>
      <c r="H19" s="12">
        <f t="shared" si="6"/>
        <v>0</v>
      </c>
      <c r="I19" s="12">
        <f t="shared" si="7"/>
        <v>0</v>
      </c>
      <c r="J19" s="12">
        <f t="shared" si="8"/>
        <v>0</v>
      </c>
      <c r="K19" s="12">
        <f t="shared" si="9"/>
        <v>0</v>
      </c>
      <c r="L19" s="12">
        <f t="shared" si="10"/>
        <v>0</v>
      </c>
      <c r="M19" s="12">
        <f t="shared" si="11"/>
        <v>0</v>
      </c>
      <c r="N19" s="12">
        <f t="shared" si="12"/>
        <v>0</v>
      </c>
      <c r="P19" s="34">
        <v>80</v>
      </c>
      <c r="Q19" s="34">
        <f t="shared" si="13"/>
        <v>0</v>
      </c>
      <c r="S19" s="43" t="s">
        <v>28</v>
      </c>
    </row>
    <row r="20" ht="18" spans="2:19">
      <c r="B20" s="11" t="s">
        <v>11</v>
      </c>
      <c r="C20" s="12">
        <f t="shared" si="0"/>
        <v>0</v>
      </c>
      <c r="D20" s="12">
        <f t="shared" si="1"/>
        <v>0</v>
      </c>
      <c r="E20" s="12">
        <f t="shared" si="3"/>
        <v>0</v>
      </c>
      <c r="F20" s="12">
        <f t="shared" si="4"/>
        <v>0</v>
      </c>
      <c r="G20" s="12">
        <f t="shared" si="5"/>
        <v>0</v>
      </c>
      <c r="H20" s="12">
        <f t="shared" si="6"/>
        <v>0</v>
      </c>
      <c r="I20" s="12">
        <f t="shared" si="7"/>
        <v>0</v>
      </c>
      <c r="J20" s="12">
        <f t="shared" si="8"/>
        <v>0</v>
      </c>
      <c r="K20" s="12">
        <f t="shared" si="9"/>
        <v>0</v>
      </c>
      <c r="L20" s="12">
        <f t="shared" si="10"/>
        <v>0</v>
      </c>
      <c r="M20" s="12">
        <f t="shared" si="11"/>
        <v>0</v>
      </c>
      <c r="N20" s="12">
        <f t="shared" si="12"/>
        <v>0</v>
      </c>
      <c r="P20" s="34">
        <v>100</v>
      </c>
      <c r="Q20" s="34">
        <f t="shared" si="13"/>
        <v>0</v>
      </c>
      <c r="S20" s="43" t="s">
        <v>29</v>
      </c>
    </row>
    <row r="21" ht="18" spans="2:19">
      <c r="B21" s="11" t="s">
        <v>12</v>
      </c>
      <c r="C21" s="12"/>
      <c r="D21" s="12"/>
      <c r="E21" s="12">
        <f t="shared" si="3"/>
        <v>0</v>
      </c>
      <c r="F21" s="12">
        <f t="shared" si="4"/>
        <v>0</v>
      </c>
      <c r="G21" s="12">
        <f t="shared" si="5"/>
        <v>0</v>
      </c>
      <c r="H21" s="12">
        <f t="shared" si="6"/>
        <v>0</v>
      </c>
      <c r="I21" s="12">
        <f t="shared" si="7"/>
        <v>0</v>
      </c>
      <c r="J21" s="12">
        <f t="shared" si="8"/>
        <v>0</v>
      </c>
      <c r="K21" s="12">
        <f t="shared" si="9"/>
        <v>0</v>
      </c>
      <c r="L21" s="12">
        <f t="shared" si="10"/>
        <v>0</v>
      </c>
      <c r="M21" s="12">
        <f t="shared" si="11"/>
        <v>0</v>
      </c>
      <c r="N21" s="12">
        <f t="shared" si="12"/>
        <v>0</v>
      </c>
      <c r="S21" s="43" t="s">
        <v>30</v>
      </c>
    </row>
    <row r="22" spans="2:14">
      <c r="B22" s="11" t="s">
        <v>13</v>
      </c>
      <c r="C22" s="12"/>
      <c r="D22" s="12"/>
      <c r="E22" s="12">
        <f t="shared" si="3"/>
        <v>0</v>
      </c>
      <c r="F22" s="12">
        <f t="shared" si="4"/>
        <v>0</v>
      </c>
      <c r="G22" s="12">
        <f t="shared" si="5"/>
        <v>0</v>
      </c>
      <c r="H22" s="12">
        <f t="shared" si="6"/>
        <v>0</v>
      </c>
      <c r="I22" s="12">
        <f t="shared" si="7"/>
        <v>0</v>
      </c>
      <c r="J22" s="12">
        <f t="shared" si="8"/>
        <v>0</v>
      </c>
      <c r="K22" s="12">
        <f t="shared" si="9"/>
        <v>0</v>
      </c>
      <c r="L22" s="12">
        <f t="shared" si="10"/>
        <v>0</v>
      </c>
      <c r="M22" s="12">
        <f t="shared" si="11"/>
        <v>0</v>
      </c>
      <c r="N22" s="12">
        <f t="shared" si="12"/>
        <v>0</v>
      </c>
    </row>
    <row r="23" spans="4:6">
      <c r="D23" s="13" t="s">
        <v>31</v>
      </c>
      <c r="E23" s="15"/>
      <c r="F23" s="15"/>
    </row>
    <row r="24" spans="4:20">
      <c r="D24" s="14" t="s">
        <v>32</v>
      </c>
      <c r="E24" s="16" t="s">
        <v>33</v>
      </c>
      <c r="F24" s="17" t="s">
        <v>34</v>
      </c>
      <c r="H24" s="13" t="s">
        <v>35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4:20">
      <c r="D25" t="s">
        <v>36</v>
      </c>
      <c r="E25">
        <f>E15</f>
        <v>0</v>
      </c>
      <c r="H25" s="18" t="s">
        <v>37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4:20">
      <c r="D26" t="s">
        <v>38</v>
      </c>
      <c r="E26">
        <f t="shared" ref="E26:E32" si="14">E16</f>
        <v>0</v>
      </c>
      <c r="H26" s="19"/>
      <c r="I26" s="25">
        <v>1</v>
      </c>
      <c r="J26" s="25">
        <v>2</v>
      </c>
      <c r="K26" s="25">
        <v>3</v>
      </c>
      <c r="L26" s="25">
        <v>4</v>
      </c>
      <c r="M26" s="25">
        <v>5</v>
      </c>
      <c r="N26" s="25">
        <v>6</v>
      </c>
      <c r="O26" s="25">
        <v>7</v>
      </c>
      <c r="P26" s="25">
        <v>8</v>
      </c>
      <c r="Q26" s="25">
        <v>9</v>
      </c>
      <c r="R26" s="25">
        <v>10</v>
      </c>
      <c r="S26" s="25">
        <v>11</v>
      </c>
      <c r="T26" s="25">
        <v>12</v>
      </c>
    </row>
    <row r="27" spans="4:20">
      <c r="D27" t="s">
        <v>39</v>
      </c>
      <c r="E27">
        <f t="shared" si="14"/>
        <v>0</v>
      </c>
      <c r="H27" s="20" t="s">
        <v>4</v>
      </c>
      <c r="I27" s="26" t="s">
        <v>40</v>
      </c>
      <c r="J27" s="26" t="s">
        <v>40</v>
      </c>
      <c r="K27" s="26">
        <v>50</v>
      </c>
      <c r="L27" s="26">
        <v>50</v>
      </c>
      <c r="M27" s="26">
        <v>50</v>
      </c>
      <c r="N27" s="26">
        <v>50</v>
      </c>
      <c r="O27" s="26">
        <v>50</v>
      </c>
      <c r="P27" s="26">
        <v>50</v>
      </c>
      <c r="Q27" s="26">
        <v>50</v>
      </c>
      <c r="R27" s="26">
        <v>50</v>
      </c>
      <c r="S27" s="26">
        <v>50</v>
      </c>
      <c r="T27" s="26">
        <v>50</v>
      </c>
    </row>
    <row r="28" spans="4:20">
      <c r="D28" t="s">
        <v>41</v>
      </c>
      <c r="E28">
        <f t="shared" si="14"/>
        <v>0</v>
      </c>
      <c r="H28" s="20" t="s">
        <v>6</v>
      </c>
      <c r="I28" s="26" t="s">
        <v>40</v>
      </c>
      <c r="J28" s="26" t="s">
        <v>40</v>
      </c>
      <c r="K28" s="26">
        <v>50</v>
      </c>
      <c r="L28" s="26">
        <v>50</v>
      </c>
      <c r="M28" s="26">
        <v>50</v>
      </c>
      <c r="N28" s="26">
        <v>50</v>
      </c>
      <c r="O28" s="26">
        <v>50</v>
      </c>
      <c r="P28" s="26">
        <v>50</v>
      </c>
      <c r="Q28" s="26">
        <v>50</v>
      </c>
      <c r="R28" s="26">
        <v>50</v>
      </c>
      <c r="S28" s="26">
        <v>50</v>
      </c>
      <c r="T28" s="26">
        <v>50</v>
      </c>
    </row>
    <row r="29" spans="4:20">
      <c r="D29" t="s">
        <v>42</v>
      </c>
      <c r="E29">
        <f t="shared" si="14"/>
        <v>0</v>
      </c>
      <c r="H29" s="20" t="s">
        <v>8</v>
      </c>
      <c r="I29" s="26" t="s">
        <v>40</v>
      </c>
      <c r="J29" s="26" t="s">
        <v>40</v>
      </c>
      <c r="K29" s="26">
        <v>50</v>
      </c>
      <c r="L29" s="26">
        <v>50</v>
      </c>
      <c r="M29" s="26">
        <v>50</v>
      </c>
      <c r="N29" s="26">
        <v>50</v>
      </c>
      <c r="O29" s="26">
        <v>50</v>
      </c>
      <c r="P29" s="26">
        <v>50</v>
      </c>
      <c r="Q29" s="26">
        <v>50</v>
      </c>
      <c r="R29" s="26">
        <v>50</v>
      </c>
      <c r="S29" s="26">
        <v>50</v>
      </c>
      <c r="T29" s="26">
        <v>50</v>
      </c>
    </row>
    <row r="30" spans="4:20">
      <c r="D30" t="s">
        <v>43</v>
      </c>
      <c r="E30">
        <f t="shared" si="14"/>
        <v>0</v>
      </c>
      <c r="H30" s="20" t="s">
        <v>9</v>
      </c>
      <c r="I30" s="26" t="s">
        <v>40</v>
      </c>
      <c r="J30" s="26" t="s">
        <v>40</v>
      </c>
      <c r="K30" s="26">
        <v>50</v>
      </c>
      <c r="L30" s="26">
        <v>50</v>
      </c>
      <c r="M30" s="26">
        <v>50</v>
      </c>
      <c r="N30" s="26">
        <v>50</v>
      </c>
      <c r="O30" s="26">
        <v>50</v>
      </c>
      <c r="P30" s="26">
        <v>50</v>
      </c>
      <c r="Q30" s="26">
        <v>50</v>
      </c>
      <c r="R30" s="26">
        <v>50</v>
      </c>
      <c r="S30" s="26">
        <v>50</v>
      </c>
      <c r="T30" s="26">
        <v>50</v>
      </c>
    </row>
    <row r="31" spans="4:20">
      <c r="D31" t="s">
        <v>44</v>
      </c>
      <c r="E31">
        <f t="shared" si="14"/>
        <v>0</v>
      </c>
      <c r="H31" s="20" t="s">
        <v>10</v>
      </c>
      <c r="I31" s="26" t="s">
        <v>40</v>
      </c>
      <c r="J31" s="26" t="s">
        <v>40</v>
      </c>
      <c r="K31" s="26">
        <v>50</v>
      </c>
      <c r="L31" s="26">
        <v>50</v>
      </c>
      <c r="M31" s="26">
        <v>50</v>
      </c>
      <c r="N31" s="26">
        <v>50</v>
      </c>
      <c r="O31" s="26">
        <v>50</v>
      </c>
      <c r="P31" s="26">
        <v>50</v>
      </c>
      <c r="Q31" s="26">
        <v>50</v>
      </c>
      <c r="R31" s="26">
        <v>50</v>
      </c>
      <c r="S31" s="26">
        <v>50</v>
      </c>
      <c r="T31" s="26">
        <v>50</v>
      </c>
    </row>
    <row r="32" spans="4:20">
      <c r="D32" t="s">
        <v>45</v>
      </c>
      <c r="E32">
        <f t="shared" si="14"/>
        <v>0</v>
      </c>
      <c r="H32" s="20" t="s">
        <v>11</v>
      </c>
      <c r="I32" s="26" t="s">
        <v>40</v>
      </c>
      <c r="J32" s="26" t="s">
        <v>40</v>
      </c>
      <c r="K32" s="26">
        <v>50</v>
      </c>
      <c r="L32" s="26">
        <v>50</v>
      </c>
      <c r="M32" s="26">
        <v>50</v>
      </c>
      <c r="N32" s="26">
        <v>50</v>
      </c>
      <c r="O32" s="26">
        <v>50</v>
      </c>
      <c r="P32" s="26">
        <v>50</v>
      </c>
      <c r="Q32" s="26">
        <v>50</v>
      </c>
      <c r="R32" s="26">
        <v>50</v>
      </c>
      <c r="S32" s="26">
        <v>50</v>
      </c>
      <c r="T32" s="26">
        <v>50</v>
      </c>
    </row>
    <row r="33" spans="4:20">
      <c r="D33" t="s">
        <v>46</v>
      </c>
      <c r="E33">
        <f>F15</f>
        <v>0</v>
      </c>
      <c r="H33" s="20" t="s">
        <v>12</v>
      </c>
      <c r="I33" s="26" t="s">
        <v>40</v>
      </c>
      <c r="J33" s="26" t="s">
        <v>40</v>
      </c>
      <c r="K33" s="26">
        <v>50</v>
      </c>
      <c r="L33" s="26">
        <v>50</v>
      </c>
      <c r="M33" s="26">
        <v>50</v>
      </c>
      <c r="N33" s="26">
        <v>50</v>
      </c>
      <c r="O33" s="26">
        <v>50</v>
      </c>
      <c r="P33" s="26">
        <v>50</v>
      </c>
      <c r="Q33" s="26">
        <v>50</v>
      </c>
      <c r="R33" s="26">
        <v>50</v>
      </c>
      <c r="S33" s="26">
        <v>50</v>
      </c>
      <c r="T33" s="26">
        <v>50</v>
      </c>
    </row>
    <row r="34" spans="4:20">
      <c r="D34" t="s">
        <v>47</v>
      </c>
      <c r="E34">
        <f t="shared" ref="E34:E40" si="15">F16</f>
        <v>0</v>
      </c>
      <c r="H34" s="20" t="s">
        <v>13</v>
      </c>
      <c r="I34" s="26" t="s">
        <v>40</v>
      </c>
      <c r="J34" s="26" t="s">
        <v>40</v>
      </c>
      <c r="K34" s="26">
        <v>50</v>
      </c>
      <c r="L34" s="26">
        <v>50</v>
      </c>
      <c r="M34" s="26">
        <v>50</v>
      </c>
      <c r="N34" s="26">
        <v>50</v>
      </c>
      <c r="O34" s="26">
        <v>50</v>
      </c>
      <c r="P34" s="26">
        <v>50</v>
      </c>
      <c r="Q34" s="26">
        <v>50</v>
      </c>
      <c r="R34" s="26">
        <v>50</v>
      </c>
      <c r="S34" s="26">
        <v>50</v>
      </c>
      <c r="T34" s="26">
        <v>50</v>
      </c>
    </row>
    <row r="35" spans="4:5">
      <c r="D35" t="s">
        <v>48</v>
      </c>
      <c r="E35">
        <f t="shared" si="15"/>
        <v>0</v>
      </c>
    </row>
    <row r="36" spans="4:20">
      <c r="D36" t="s">
        <v>49</v>
      </c>
      <c r="E36">
        <f t="shared" si="15"/>
        <v>0</v>
      </c>
      <c r="H36" s="13" t="s">
        <v>50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4:20">
      <c r="D37" t="s">
        <v>51</v>
      </c>
      <c r="E37">
        <f t="shared" si="15"/>
        <v>0</v>
      </c>
      <c r="H37" s="18" t="s">
        <v>52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4:20">
      <c r="D38" t="s">
        <v>53</v>
      </c>
      <c r="E38">
        <f t="shared" si="15"/>
        <v>0</v>
      </c>
      <c r="H38" s="19"/>
      <c r="I38" s="25">
        <v>1</v>
      </c>
      <c r="J38" s="25">
        <v>2</v>
      </c>
      <c r="K38" s="25">
        <v>3</v>
      </c>
      <c r="L38" s="25">
        <v>4</v>
      </c>
      <c r="M38" s="25">
        <v>5</v>
      </c>
      <c r="N38" s="25">
        <v>6</v>
      </c>
      <c r="O38" s="25">
        <v>7</v>
      </c>
      <c r="P38" s="25">
        <v>8</v>
      </c>
      <c r="Q38" s="25">
        <v>9</v>
      </c>
      <c r="R38" s="25">
        <v>10</v>
      </c>
      <c r="S38" s="25">
        <v>11</v>
      </c>
      <c r="T38" s="25">
        <v>12</v>
      </c>
    </row>
    <row r="39" spans="4:20">
      <c r="D39" t="s">
        <v>54</v>
      </c>
      <c r="E39">
        <f t="shared" si="15"/>
        <v>0</v>
      </c>
      <c r="H39" s="20" t="s">
        <v>4</v>
      </c>
      <c r="I39" s="26" t="s">
        <v>40</v>
      </c>
      <c r="J39" s="26" t="s">
        <v>40</v>
      </c>
      <c r="K39" s="26">
        <v>1</v>
      </c>
      <c r="L39" s="26">
        <v>1</v>
      </c>
      <c r="M39" s="26">
        <v>1</v>
      </c>
      <c r="N39" s="26">
        <v>1</v>
      </c>
      <c r="O39" s="26">
        <v>1</v>
      </c>
      <c r="P39" s="26">
        <v>1</v>
      </c>
      <c r="Q39" s="26">
        <v>1</v>
      </c>
      <c r="R39" s="26">
        <v>1</v>
      </c>
      <c r="S39" s="26">
        <v>1</v>
      </c>
      <c r="T39" s="26">
        <v>1</v>
      </c>
    </row>
    <row r="40" spans="4:20">
      <c r="D40" t="s">
        <v>55</v>
      </c>
      <c r="E40">
        <f t="shared" si="15"/>
        <v>0</v>
      </c>
      <c r="H40" s="20" t="s">
        <v>6</v>
      </c>
      <c r="I40" s="26" t="s">
        <v>40</v>
      </c>
      <c r="J40" s="26" t="s">
        <v>40</v>
      </c>
      <c r="K40" s="26">
        <v>1</v>
      </c>
      <c r="L40" s="26">
        <v>1</v>
      </c>
      <c r="M40" s="26">
        <v>1</v>
      </c>
      <c r="N40" s="26">
        <v>1</v>
      </c>
      <c r="O40" s="26">
        <v>1</v>
      </c>
      <c r="P40" s="26">
        <v>1</v>
      </c>
      <c r="Q40" s="26">
        <v>1</v>
      </c>
      <c r="R40" s="26">
        <v>1</v>
      </c>
      <c r="S40" s="26">
        <v>1</v>
      </c>
      <c r="T40" s="26">
        <v>1</v>
      </c>
    </row>
    <row r="41" spans="4:20">
      <c r="D41" t="s">
        <v>56</v>
      </c>
      <c r="E41">
        <f>G15</f>
        <v>0</v>
      </c>
      <c r="H41" s="20" t="s">
        <v>8</v>
      </c>
      <c r="I41" s="26" t="s">
        <v>40</v>
      </c>
      <c r="J41" s="26" t="s">
        <v>40</v>
      </c>
      <c r="K41" s="26">
        <v>1</v>
      </c>
      <c r="L41" s="26">
        <v>1</v>
      </c>
      <c r="M41" s="26">
        <v>1</v>
      </c>
      <c r="N41" s="26">
        <v>1</v>
      </c>
      <c r="O41" s="26">
        <v>1</v>
      </c>
      <c r="P41" s="26">
        <v>1</v>
      </c>
      <c r="Q41" s="26">
        <v>1</v>
      </c>
      <c r="R41" s="26">
        <v>1</v>
      </c>
      <c r="S41" s="26">
        <v>1</v>
      </c>
      <c r="T41" s="26">
        <v>1</v>
      </c>
    </row>
    <row r="42" spans="4:20">
      <c r="D42" t="s">
        <v>57</v>
      </c>
      <c r="E42">
        <f t="shared" ref="E42:E48" si="16">G16</f>
        <v>0</v>
      </c>
      <c r="H42" s="20" t="s">
        <v>9</v>
      </c>
      <c r="I42" s="26" t="s">
        <v>40</v>
      </c>
      <c r="J42" s="26" t="s">
        <v>40</v>
      </c>
      <c r="K42" s="26">
        <v>1</v>
      </c>
      <c r="L42" s="26">
        <v>1</v>
      </c>
      <c r="M42" s="26">
        <v>1</v>
      </c>
      <c r="N42" s="26">
        <v>1</v>
      </c>
      <c r="O42" s="26">
        <v>1</v>
      </c>
      <c r="P42" s="26">
        <v>1</v>
      </c>
      <c r="Q42" s="26">
        <v>1</v>
      </c>
      <c r="R42" s="26">
        <v>1</v>
      </c>
      <c r="S42" s="26">
        <v>1</v>
      </c>
      <c r="T42" s="26">
        <v>1</v>
      </c>
    </row>
    <row r="43" spans="4:20">
      <c r="D43" t="s">
        <v>58</v>
      </c>
      <c r="E43">
        <f t="shared" si="16"/>
        <v>0</v>
      </c>
      <c r="H43" s="20" t="s">
        <v>10</v>
      </c>
      <c r="I43" s="26" t="s">
        <v>40</v>
      </c>
      <c r="J43" s="26" t="s">
        <v>40</v>
      </c>
      <c r="K43" s="26">
        <v>1</v>
      </c>
      <c r="L43" s="26">
        <v>1</v>
      </c>
      <c r="M43" s="26">
        <v>1</v>
      </c>
      <c r="N43" s="26">
        <v>1</v>
      </c>
      <c r="O43" s="26">
        <v>1</v>
      </c>
      <c r="P43" s="26">
        <v>1</v>
      </c>
      <c r="Q43" s="26">
        <v>1</v>
      </c>
      <c r="R43" s="26">
        <v>1</v>
      </c>
      <c r="S43" s="26">
        <v>1</v>
      </c>
      <c r="T43" s="26">
        <v>1</v>
      </c>
    </row>
    <row r="44" spans="4:20">
      <c r="D44" t="s">
        <v>59</v>
      </c>
      <c r="E44">
        <f t="shared" si="16"/>
        <v>0</v>
      </c>
      <c r="H44" s="20" t="s">
        <v>11</v>
      </c>
      <c r="I44" s="26" t="s">
        <v>40</v>
      </c>
      <c r="J44" s="26" t="s">
        <v>40</v>
      </c>
      <c r="K44" s="26">
        <v>1</v>
      </c>
      <c r="L44" s="26">
        <v>1</v>
      </c>
      <c r="M44" s="26">
        <v>1</v>
      </c>
      <c r="N44" s="26">
        <v>1</v>
      </c>
      <c r="O44" s="26">
        <v>1</v>
      </c>
      <c r="P44" s="26">
        <v>1</v>
      </c>
      <c r="Q44" s="26">
        <v>1</v>
      </c>
      <c r="R44" s="26">
        <v>1</v>
      </c>
      <c r="S44" s="26">
        <v>1</v>
      </c>
      <c r="T44" s="26">
        <v>1</v>
      </c>
    </row>
    <row r="45" spans="4:20">
      <c r="D45" t="s">
        <v>60</v>
      </c>
      <c r="E45">
        <f t="shared" si="16"/>
        <v>0</v>
      </c>
      <c r="H45" s="20" t="s">
        <v>12</v>
      </c>
      <c r="I45" s="26" t="s">
        <v>40</v>
      </c>
      <c r="J45" s="26" t="s">
        <v>40</v>
      </c>
      <c r="K45" s="26">
        <v>1</v>
      </c>
      <c r="L45" s="26">
        <v>1</v>
      </c>
      <c r="M45" s="26">
        <v>1</v>
      </c>
      <c r="N45" s="26">
        <v>1</v>
      </c>
      <c r="O45" s="26">
        <v>1</v>
      </c>
      <c r="P45" s="26">
        <v>1</v>
      </c>
      <c r="Q45" s="26">
        <v>1</v>
      </c>
      <c r="R45" s="26">
        <v>1</v>
      </c>
      <c r="S45" s="26">
        <v>1</v>
      </c>
      <c r="T45" s="26">
        <v>1</v>
      </c>
    </row>
    <row r="46" spans="4:20">
      <c r="D46" t="s">
        <v>61</v>
      </c>
      <c r="E46">
        <f t="shared" si="16"/>
        <v>0</v>
      </c>
      <c r="H46" s="20" t="s">
        <v>13</v>
      </c>
      <c r="I46" s="26" t="s">
        <v>40</v>
      </c>
      <c r="J46" s="26" t="s">
        <v>40</v>
      </c>
      <c r="K46" s="26">
        <v>1</v>
      </c>
      <c r="L46" s="26">
        <v>1</v>
      </c>
      <c r="M46" s="26">
        <v>1</v>
      </c>
      <c r="N46" s="26">
        <v>1</v>
      </c>
      <c r="O46" s="26">
        <v>1</v>
      </c>
      <c r="P46" s="26">
        <v>1</v>
      </c>
      <c r="Q46" s="26">
        <v>1</v>
      </c>
      <c r="R46" s="26">
        <v>1</v>
      </c>
      <c r="S46" s="26">
        <v>1</v>
      </c>
      <c r="T46" s="26">
        <v>1</v>
      </c>
    </row>
    <row r="47" spans="4:5">
      <c r="D47" t="s">
        <v>62</v>
      </c>
      <c r="E47">
        <f t="shared" si="16"/>
        <v>0</v>
      </c>
    </row>
    <row r="48" spans="4:20">
      <c r="D48" t="s">
        <v>63</v>
      </c>
      <c r="E48">
        <f t="shared" si="16"/>
        <v>0</v>
      </c>
      <c r="H48" s="21" t="s">
        <v>64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 spans="4:20">
      <c r="D49" t="s">
        <v>65</v>
      </c>
      <c r="E49">
        <f>H15</f>
        <v>0</v>
      </c>
      <c r="H49" s="18" t="s">
        <v>66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4:20">
      <c r="D50" t="s">
        <v>67</v>
      </c>
      <c r="E50">
        <f t="shared" ref="E50:E56" si="17">H16</f>
        <v>0</v>
      </c>
      <c r="H50" s="19"/>
      <c r="I50" s="25">
        <v>1</v>
      </c>
      <c r="J50" s="25">
        <v>2</v>
      </c>
      <c r="K50" s="25">
        <v>3</v>
      </c>
      <c r="L50" s="25">
        <v>4</v>
      </c>
      <c r="M50" s="25">
        <v>5</v>
      </c>
      <c r="N50" s="25">
        <v>6</v>
      </c>
      <c r="O50" s="25">
        <v>7</v>
      </c>
      <c r="P50" s="25">
        <v>8</v>
      </c>
      <c r="Q50" s="25">
        <v>9</v>
      </c>
      <c r="R50" s="25">
        <v>10</v>
      </c>
      <c r="S50" s="25">
        <v>11</v>
      </c>
      <c r="T50" s="25">
        <v>12</v>
      </c>
    </row>
    <row r="51" spans="4:20">
      <c r="D51" t="s">
        <v>68</v>
      </c>
      <c r="E51">
        <f t="shared" si="17"/>
        <v>0</v>
      </c>
      <c r="H51" s="20" t="s">
        <v>4</v>
      </c>
      <c r="I51" s="26" t="s">
        <v>40</v>
      </c>
      <c r="J51" s="26" t="s">
        <v>40</v>
      </c>
      <c r="K51" s="26">
        <f>F25/K27*K39</f>
        <v>0</v>
      </c>
      <c r="L51" s="26">
        <f>F33/L27*L39</f>
        <v>0</v>
      </c>
      <c r="M51" s="26">
        <f>F41/M27*M39</f>
        <v>0</v>
      </c>
      <c r="N51" s="26">
        <f>F49/N27*N39</f>
        <v>0</v>
      </c>
      <c r="O51" s="26">
        <f>F57/O27*O39</f>
        <v>0</v>
      </c>
      <c r="P51" s="26">
        <f>F65/P27*P39</f>
        <v>0</v>
      </c>
      <c r="Q51" s="26">
        <f>F73/Q27*Q39</f>
        <v>0</v>
      </c>
      <c r="R51" s="26">
        <f>F81/R27*R39</f>
        <v>0</v>
      </c>
      <c r="S51" s="26">
        <f>F89/S27*S39</f>
        <v>0</v>
      </c>
      <c r="T51" s="26">
        <f>F97/T27*T39</f>
        <v>0</v>
      </c>
    </row>
    <row r="52" spans="4:20">
      <c r="D52" t="s">
        <v>69</v>
      </c>
      <c r="E52">
        <f t="shared" si="17"/>
        <v>0</v>
      </c>
      <c r="H52" s="20" t="s">
        <v>6</v>
      </c>
      <c r="I52" s="26" t="s">
        <v>40</v>
      </c>
      <c r="J52" s="26" t="s">
        <v>40</v>
      </c>
      <c r="K52" s="26">
        <f t="shared" ref="K52:K58" si="18">F26/K28*K40</f>
        <v>0</v>
      </c>
      <c r="L52" s="26">
        <f t="shared" ref="L52:L58" si="19">F34/L28*L40</f>
        <v>0</v>
      </c>
      <c r="M52" s="26">
        <f t="shared" ref="M52:M58" si="20">F42/M28*M40</f>
        <v>0</v>
      </c>
      <c r="N52" s="26">
        <f t="shared" ref="N52:N58" si="21">F50/N28*N40</f>
        <v>0</v>
      </c>
      <c r="O52" s="26">
        <f t="shared" ref="O52:O58" si="22">F58/O28*O40</f>
        <v>0</v>
      </c>
      <c r="P52" s="26">
        <f t="shared" ref="P52:P58" si="23">F66/P28*P40</f>
        <v>0</v>
      </c>
      <c r="Q52" s="26">
        <f t="shared" ref="Q52:Q58" si="24">F74/Q28*Q40</f>
        <v>0</v>
      </c>
      <c r="R52" s="26">
        <f t="shared" ref="R52:R58" si="25">F82/R28*R40</f>
        <v>0</v>
      </c>
      <c r="S52" s="26">
        <f t="shared" ref="S52:S58" si="26">F90/S28*S40</f>
        <v>0</v>
      </c>
      <c r="T52" s="26">
        <f t="shared" ref="T52:T58" si="27">F98/T28*T40</f>
        <v>0</v>
      </c>
    </row>
    <row r="53" spans="4:20">
      <c r="D53" t="s">
        <v>70</v>
      </c>
      <c r="E53">
        <f t="shared" si="17"/>
        <v>0</v>
      </c>
      <c r="H53" s="20" t="s">
        <v>8</v>
      </c>
      <c r="I53" s="26" t="s">
        <v>40</v>
      </c>
      <c r="J53" s="26" t="s">
        <v>40</v>
      </c>
      <c r="K53" s="26">
        <f t="shared" si="18"/>
        <v>0</v>
      </c>
      <c r="L53" s="26">
        <f t="shared" si="19"/>
        <v>0</v>
      </c>
      <c r="M53" s="26">
        <f t="shared" si="20"/>
        <v>0</v>
      </c>
      <c r="N53" s="26">
        <f t="shared" si="21"/>
        <v>0</v>
      </c>
      <c r="O53" s="26">
        <f t="shared" si="22"/>
        <v>0</v>
      </c>
      <c r="P53" s="26">
        <f t="shared" si="23"/>
        <v>0</v>
      </c>
      <c r="Q53" s="26">
        <f t="shared" si="24"/>
        <v>0</v>
      </c>
      <c r="R53" s="26">
        <f t="shared" si="25"/>
        <v>0</v>
      </c>
      <c r="S53" s="26">
        <f t="shared" si="26"/>
        <v>0</v>
      </c>
      <c r="T53" s="26">
        <f t="shared" si="27"/>
        <v>0</v>
      </c>
    </row>
    <row r="54" spans="4:20">
      <c r="D54" t="s">
        <v>71</v>
      </c>
      <c r="E54">
        <f t="shared" si="17"/>
        <v>0</v>
      </c>
      <c r="H54" s="20" t="s">
        <v>9</v>
      </c>
      <c r="I54" s="26" t="s">
        <v>40</v>
      </c>
      <c r="J54" s="26" t="s">
        <v>40</v>
      </c>
      <c r="K54" s="26">
        <f t="shared" si="18"/>
        <v>0</v>
      </c>
      <c r="L54" s="26">
        <f t="shared" si="19"/>
        <v>0</v>
      </c>
      <c r="M54" s="26">
        <f t="shared" si="20"/>
        <v>0</v>
      </c>
      <c r="N54" s="26">
        <f t="shared" si="21"/>
        <v>0</v>
      </c>
      <c r="O54" s="26">
        <f t="shared" si="22"/>
        <v>0</v>
      </c>
      <c r="P54" s="26">
        <f t="shared" si="23"/>
        <v>0</v>
      </c>
      <c r="Q54" s="26">
        <f t="shared" si="24"/>
        <v>0</v>
      </c>
      <c r="R54" s="26">
        <f t="shared" si="25"/>
        <v>0</v>
      </c>
      <c r="S54" s="26">
        <f t="shared" si="26"/>
        <v>0</v>
      </c>
      <c r="T54" s="26">
        <f t="shared" si="27"/>
        <v>0</v>
      </c>
    </row>
    <row r="55" spans="4:20">
      <c r="D55" t="s">
        <v>72</v>
      </c>
      <c r="E55">
        <f t="shared" si="17"/>
        <v>0</v>
      </c>
      <c r="H55" s="20" t="s">
        <v>10</v>
      </c>
      <c r="I55" s="26" t="s">
        <v>40</v>
      </c>
      <c r="J55" s="26" t="s">
        <v>40</v>
      </c>
      <c r="K55" s="26">
        <f t="shared" si="18"/>
        <v>0</v>
      </c>
      <c r="L55" s="26">
        <f t="shared" si="19"/>
        <v>0</v>
      </c>
      <c r="M55" s="26">
        <f t="shared" si="20"/>
        <v>0</v>
      </c>
      <c r="N55" s="26">
        <f t="shared" si="21"/>
        <v>0</v>
      </c>
      <c r="O55" s="26">
        <f t="shared" si="22"/>
        <v>0</v>
      </c>
      <c r="P55" s="26">
        <f t="shared" si="23"/>
        <v>0</v>
      </c>
      <c r="Q55" s="26">
        <f t="shared" si="24"/>
        <v>0</v>
      </c>
      <c r="R55" s="26">
        <f t="shared" si="25"/>
        <v>0</v>
      </c>
      <c r="S55" s="26">
        <f t="shared" si="26"/>
        <v>0</v>
      </c>
      <c r="T55" s="26">
        <f t="shared" si="27"/>
        <v>0</v>
      </c>
    </row>
    <row r="56" spans="4:20">
      <c r="D56" t="s">
        <v>73</v>
      </c>
      <c r="E56">
        <f t="shared" si="17"/>
        <v>0</v>
      </c>
      <c r="H56" s="20" t="s">
        <v>11</v>
      </c>
      <c r="I56" s="26" t="s">
        <v>40</v>
      </c>
      <c r="J56" s="26" t="s">
        <v>40</v>
      </c>
      <c r="K56" s="26">
        <f t="shared" si="18"/>
        <v>0</v>
      </c>
      <c r="L56" s="26">
        <f t="shared" si="19"/>
        <v>0</v>
      </c>
      <c r="M56" s="26">
        <f t="shared" si="20"/>
        <v>0</v>
      </c>
      <c r="N56" s="26">
        <f t="shared" si="21"/>
        <v>0</v>
      </c>
      <c r="O56" s="26">
        <f t="shared" si="22"/>
        <v>0</v>
      </c>
      <c r="P56" s="26">
        <f t="shared" si="23"/>
        <v>0</v>
      </c>
      <c r="Q56" s="26">
        <f t="shared" si="24"/>
        <v>0</v>
      </c>
      <c r="R56" s="26">
        <f t="shared" si="25"/>
        <v>0</v>
      </c>
      <c r="S56" s="26">
        <f t="shared" si="26"/>
        <v>0</v>
      </c>
      <c r="T56" s="26">
        <f t="shared" si="27"/>
        <v>0</v>
      </c>
    </row>
    <row r="57" spans="4:20">
      <c r="D57" t="s">
        <v>74</v>
      </c>
      <c r="E57">
        <f>I15</f>
        <v>0</v>
      </c>
      <c r="H57" s="20" t="s">
        <v>12</v>
      </c>
      <c r="I57" s="26" t="s">
        <v>40</v>
      </c>
      <c r="J57" s="26" t="s">
        <v>40</v>
      </c>
      <c r="K57" s="26">
        <f t="shared" si="18"/>
        <v>0</v>
      </c>
      <c r="L57" s="26">
        <f t="shared" si="19"/>
        <v>0</v>
      </c>
      <c r="M57" s="26">
        <f t="shared" si="20"/>
        <v>0</v>
      </c>
      <c r="N57" s="26">
        <f t="shared" si="21"/>
        <v>0</v>
      </c>
      <c r="O57" s="26">
        <f t="shared" si="22"/>
        <v>0</v>
      </c>
      <c r="P57" s="26">
        <f t="shared" si="23"/>
        <v>0</v>
      </c>
      <c r="Q57" s="26">
        <f t="shared" si="24"/>
        <v>0</v>
      </c>
      <c r="R57" s="26">
        <f t="shared" si="25"/>
        <v>0</v>
      </c>
      <c r="S57" s="26">
        <f t="shared" si="26"/>
        <v>0</v>
      </c>
      <c r="T57" s="26">
        <f t="shared" si="27"/>
        <v>0</v>
      </c>
    </row>
    <row r="58" spans="4:20">
      <c r="D58" t="s">
        <v>75</v>
      </c>
      <c r="E58">
        <f t="shared" ref="E58:E64" si="28">I16</f>
        <v>0</v>
      </c>
      <c r="H58" s="20" t="s">
        <v>13</v>
      </c>
      <c r="I58" s="26" t="s">
        <v>40</v>
      </c>
      <c r="J58" s="26" t="s">
        <v>40</v>
      </c>
      <c r="K58" s="26">
        <f t="shared" si="18"/>
        <v>0</v>
      </c>
      <c r="L58" s="26">
        <f t="shared" si="19"/>
        <v>0</v>
      </c>
      <c r="M58" s="26">
        <f t="shared" si="20"/>
        <v>0</v>
      </c>
      <c r="N58" s="26">
        <f t="shared" si="21"/>
        <v>0</v>
      </c>
      <c r="O58" s="26">
        <f t="shared" si="22"/>
        <v>0</v>
      </c>
      <c r="P58" s="26">
        <f t="shared" si="23"/>
        <v>0</v>
      </c>
      <c r="Q58" s="26">
        <f t="shared" si="24"/>
        <v>0</v>
      </c>
      <c r="R58" s="26">
        <f t="shared" si="25"/>
        <v>0</v>
      </c>
      <c r="S58" s="26">
        <f t="shared" si="26"/>
        <v>0</v>
      </c>
      <c r="T58" s="26">
        <f t="shared" si="27"/>
        <v>0</v>
      </c>
    </row>
    <row r="59" spans="4:5">
      <c r="D59" t="s">
        <v>76</v>
      </c>
      <c r="E59">
        <f t="shared" si="28"/>
        <v>0</v>
      </c>
    </row>
    <row r="60" spans="4:20">
      <c r="D60" t="s">
        <v>77</v>
      </c>
      <c r="E60">
        <f t="shared" si="28"/>
        <v>0</v>
      </c>
      <c r="H60" s="13" t="s">
        <v>78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4:21">
      <c r="D61" t="s">
        <v>79</v>
      </c>
      <c r="E61">
        <f t="shared" si="28"/>
        <v>0</v>
      </c>
      <c r="H61" s="22"/>
      <c r="I61" s="22"/>
      <c r="J61" s="22"/>
      <c r="K61" s="27"/>
      <c r="L61" s="27"/>
      <c r="M61" s="22"/>
      <c r="N61" s="27"/>
      <c r="O61" s="27"/>
      <c r="P61" s="22"/>
      <c r="R61" s="22"/>
      <c r="S61" s="22"/>
      <c r="T61" s="22"/>
      <c r="U61" s="22"/>
    </row>
    <row r="62" spans="4:21">
      <c r="D62" t="s">
        <v>80</v>
      </c>
      <c r="E62">
        <f t="shared" si="28"/>
        <v>0</v>
      </c>
      <c r="H62" s="22"/>
      <c r="I62" s="28"/>
      <c r="J62" s="28"/>
      <c r="K62" s="27"/>
      <c r="L62" s="27"/>
      <c r="M62" s="22"/>
      <c r="N62" s="27"/>
      <c r="O62" s="27"/>
      <c r="P62" s="22"/>
      <c r="R62" s="28"/>
      <c r="S62" s="28"/>
      <c r="T62" s="28"/>
      <c r="U62" s="28"/>
    </row>
    <row r="63" spans="4:21">
      <c r="D63" t="s">
        <v>81</v>
      </c>
      <c r="E63">
        <f t="shared" si="28"/>
        <v>0</v>
      </c>
      <c r="H63" s="22"/>
      <c r="I63" s="28"/>
      <c r="J63" s="28"/>
      <c r="K63" s="27"/>
      <c r="L63" s="27"/>
      <c r="M63" s="28"/>
      <c r="N63" s="27"/>
      <c r="O63"/>
      <c r="P63" s="28"/>
      <c r="R63" s="28"/>
      <c r="S63" s="28"/>
      <c r="T63" s="28"/>
      <c r="U63" s="28"/>
    </row>
    <row r="64" spans="4:21">
      <c r="D64" t="s">
        <v>82</v>
      </c>
      <c r="E64">
        <f t="shared" si="28"/>
        <v>0</v>
      </c>
      <c r="G64" s="23"/>
      <c r="H64" s="24"/>
      <c r="I64" s="29"/>
      <c r="J64" s="29"/>
      <c r="K64" s="23"/>
      <c r="L64" s="24"/>
      <c r="M64" s="24"/>
      <c r="N64" s="24"/>
      <c r="O64" s="24"/>
      <c r="P64" s="24"/>
      <c r="Q64" s="24"/>
      <c r="R64" s="22"/>
      <c r="S64" s="22"/>
      <c r="T64" s="22"/>
      <c r="U64" s="22"/>
    </row>
    <row r="65" spans="4:21">
      <c r="D65" t="s">
        <v>83</v>
      </c>
      <c r="E65">
        <f>J15</f>
        <v>0</v>
      </c>
      <c r="G65" s="23"/>
      <c r="H65" s="24"/>
      <c r="I65" s="29"/>
      <c r="J65" s="29"/>
      <c r="K65" s="24"/>
      <c r="L65" s="29"/>
      <c r="M65" s="29"/>
      <c r="N65" s="24"/>
      <c r="O65" s="29"/>
      <c r="P65" s="29"/>
      <c r="Q65" s="29"/>
      <c r="R65" s="28"/>
      <c r="S65" s="28"/>
      <c r="T65" s="28"/>
      <c r="U65" s="28"/>
    </row>
    <row r="66" spans="4:21">
      <c r="D66" t="s">
        <v>84</v>
      </c>
      <c r="E66">
        <f t="shared" ref="E66:E72" si="29">J16</f>
        <v>0</v>
      </c>
      <c r="G66" s="23"/>
      <c r="H66" s="24"/>
      <c r="I66" s="24"/>
      <c r="J66" s="24"/>
      <c r="K66" s="29"/>
      <c r="L66" s="29"/>
      <c r="M66" s="29"/>
      <c r="N66" s="29"/>
      <c r="O66" s="29"/>
      <c r="P66" s="29"/>
      <c r="Q66" s="29"/>
      <c r="R66" s="28"/>
      <c r="S66" s="28"/>
      <c r="T66" s="28"/>
      <c r="U66" s="28"/>
    </row>
    <row r="67" spans="4:21">
      <c r="D67" t="s">
        <v>85</v>
      </c>
      <c r="E67">
        <f t="shared" si="29"/>
        <v>0</v>
      </c>
      <c r="G67" s="23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2"/>
      <c r="S67" s="22"/>
      <c r="T67" s="22"/>
      <c r="U67" s="22"/>
    </row>
    <row r="68" spans="4:17">
      <c r="D68" t="s">
        <v>86</v>
      </c>
      <c r="E68">
        <f t="shared" si="29"/>
        <v>0</v>
      </c>
      <c r="G68" s="23"/>
      <c r="H68" s="24"/>
      <c r="I68" s="24"/>
      <c r="J68" s="24"/>
      <c r="K68" s="24"/>
      <c r="L68" s="24"/>
      <c r="M68" s="24"/>
      <c r="N68" s="23"/>
      <c r="O68" s="23"/>
      <c r="P68" s="23"/>
      <c r="Q68" s="23"/>
    </row>
    <row r="69" spans="4:17">
      <c r="D69" t="s">
        <v>87</v>
      </c>
      <c r="E69">
        <f t="shared" si="29"/>
        <v>0</v>
      </c>
      <c r="G69" s="23"/>
      <c r="H69" s="23"/>
      <c r="I69" s="23"/>
      <c r="J69" s="23"/>
      <c r="K69" s="29"/>
      <c r="L69" s="29"/>
      <c r="M69" s="29"/>
      <c r="N69" s="29"/>
      <c r="O69" s="23"/>
      <c r="P69" s="23"/>
      <c r="Q69" s="23"/>
    </row>
    <row r="70" spans="4:17">
      <c r="D70" t="s">
        <v>88</v>
      </c>
      <c r="E70">
        <f t="shared" si="29"/>
        <v>0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 spans="4:17">
      <c r="D71" t="s">
        <v>89</v>
      </c>
      <c r="E71">
        <f t="shared" si="29"/>
        <v>0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4:17">
      <c r="D72" t="s">
        <v>90</v>
      </c>
      <c r="E72">
        <f t="shared" si="29"/>
        <v>0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spans="4:17">
      <c r="D73" t="s">
        <v>91</v>
      </c>
      <c r="E73">
        <f>K15</f>
        <v>0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 spans="4:17">
      <c r="D74" t="s">
        <v>92</v>
      </c>
      <c r="E74">
        <f t="shared" ref="E74:E80" si="30">K16</f>
        <v>0</v>
      </c>
      <c r="G74" s="23"/>
      <c r="H74" s="44"/>
      <c r="I74" s="23"/>
      <c r="J74" s="23"/>
      <c r="K74" s="23"/>
      <c r="L74" s="23"/>
      <c r="M74" s="23"/>
      <c r="N74" s="23"/>
      <c r="O74" s="23"/>
      <c r="P74" s="23"/>
      <c r="Q74" s="23"/>
    </row>
    <row r="75" spans="4:17">
      <c r="D75" t="s">
        <v>93</v>
      </c>
      <c r="E75">
        <f t="shared" si="30"/>
        <v>0</v>
      </c>
      <c r="G75" s="23"/>
      <c r="H75" s="44"/>
      <c r="I75" s="45"/>
      <c r="J75" s="23"/>
      <c r="K75" s="23"/>
      <c r="L75" s="23"/>
      <c r="M75" s="23"/>
      <c r="N75" s="23"/>
      <c r="O75" s="23"/>
      <c r="P75" s="23"/>
      <c r="Q75" s="23"/>
    </row>
    <row r="76" spans="4:17">
      <c r="D76" t="s">
        <v>94</v>
      </c>
      <c r="E76">
        <f t="shared" si="30"/>
        <v>0</v>
      </c>
      <c r="G76" s="23"/>
      <c r="H76" s="44"/>
      <c r="I76" s="45"/>
      <c r="J76" s="23"/>
      <c r="K76" s="23"/>
      <c r="L76" s="23"/>
      <c r="M76" s="24"/>
      <c r="N76" s="23"/>
      <c r="O76" s="23"/>
      <c r="P76" s="23"/>
      <c r="Q76" s="23"/>
    </row>
    <row r="77" spans="4:17">
      <c r="D77" t="s">
        <v>95</v>
      </c>
      <c r="E77">
        <f t="shared" si="30"/>
        <v>0</v>
      </c>
      <c r="G77" s="23"/>
      <c r="H77" s="44"/>
      <c r="I77" s="45"/>
      <c r="J77" s="23"/>
      <c r="K77" s="23"/>
      <c r="L77" s="23"/>
      <c r="M77" s="24"/>
      <c r="N77" s="23"/>
      <c r="O77" s="23"/>
      <c r="P77" s="23"/>
      <c r="Q77" s="23"/>
    </row>
    <row r="78" spans="4:17">
      <c r="D78" t="s">
        <v>96</v>
      </c>
      <c r="E78">
        <f t="shared" si="30"/>
        <v>0</v>
      </c>
      <c r="G78" s="23"/>
      <c r="H78" s="44"/>
      <c r="I78" s="45"/>
      <c r="J78" s="23"/>
      <c r="K78" s="23"/>
      <c r="L78" s="24"/>
      <c r="M78" s="24"/>
      <c r="N78" s="23"/>
      <c r="O78" s="23"/>
      <c r="P78" s="23"/>
      <c r="Q78" s="23"/>
    </row>
    <row r="79" spans="4:17">
      <c r="D79" t="s">
        <v>97</v>
      </c>
      <c r="E79">
        <f t="shared" si="30"/>
        <v>0</v>
      </c>
      <c r="G79" s="23"/>
      <c r="H79" s="44"/>
      <c r="I79" s="45"/>
      <c r="J79" s="23"/>
      <c r="K79" s="23"/>
      <c r="L79" s="23"/>
      <c r="M79" s="23"/>
      <c r="N79" s="23"/>
      <c r="O79" s="23"/>
      <c r="P79" s="23"/>
      <c r="Q79" s="23"/>
    </row>
    <row r="80" spans="4:17">
      <c r="D80" t="s">
        <v>98</v>
      </c>
      <c r="E80">
        <f t="shared" si="30"/>
        <v>0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4:17">
      <c r="D81" t="s">
        <v>99</v>
      </c>
      <c r="E81">
        <f>L15</f>
        <v>0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 spans="4:17">
      <c r="D82" t="s">
        <v>100</v>
      </c>
      <c r="E82">
        <f t="shared" ref="E82:E88" si="31">L16</f>
        <v>0</v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 spans="4:17">
      <c r="D83" t="s">
        <v>101</v>
      </c>
      <c r="E83">
        <f t="shared" si="31"/>
        <v>0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</row>
    <row r="84" spans="4:17">
      <c r="D84" t="s">
        <v>102</v>
      </c>
      <c r="E84">
        <f t="shared" si="31"/>
        <v>0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 spans="4:17">
      <c r="D85" t="s">
        <v>103</v>
      </c>
      <c r="E85">
        <f t="shared" si="31"/>
        <v>0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</row>
    <row r="86" spans="4:17">
      <c r="D86" t="s">
        <v>104</v>
      </c>
      <c r="E86">
        <f t="shared" si="31"/>
        <v>0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4:17">
      <c r="D87" t="s">
        <v>105</v>
      </c>
      <c r="E87">
        <f t="shared" si="31"/>
        <v>0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</row>
    <row r="88" spans="4:17">
      <c r="D88" t="s">
        <v>106</v>
      </c>
      <c r="E88">
        <f t="shared" si="31"/>
        <v>0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</row>
    <row r="89" spans="4:17">
      <c r="D89" t="s">
        <v>107</v>
      </c>
      <c r="E89">
        <f>M15</f>
        <v>0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</row>
    <row r="90" spans="4:17">
      <c r="D90" t="s">
        <v>108</v>
      </c>
      <c r="E90">
        <f t="shared" ref="E90:E96" si="32">M16</f>
        <v>0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4:17">
      <c r="D91" t="s">
        <v>109</v>
      </c>
      <c r="E91">
        <f t="shared" si="32"/>
        <v>0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4:17">
      <c r="D92" t="s">
        <v>110</v>
      </c>
      <c r="E92">
        <f t="shared" si="32"/>
        <v>0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 spans="4:17">
      <c r="D93" t="s">
        <v>111</v>
      </c>
      <c r="E93">
        <f t="shared" si="32"/>
        <v>0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</row>
    <row r="94" spans="4:17">
      <c r="D94" t="s">
        <v>112</v>
      </c>
      <c r="E94">
        <f t="shared" si="32"/>
        <v>0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</row>
    <row r="95" spans="4:17">
      <c r="D95" t="s">
        <v>113</v>
      </c>
      <c r="E95">
        <f t="shared" si="32"/>
        <v>0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</row>
    <row r="96" spans="4:17">
      <c r="D96" t="s">
        <v>114</v>
      </c>
      <c r="E96">
        <f t="shared" si="32"/>
        <v>0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</row>
    <row r="97" spans="4:17">
      <c r="D97" t="s">
        <v>115</v>
      </c>
      <c r="E97">
        <f>N15</f>
        <v>0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</row>
    <row r="98" spans="4:17">
      <c r="D98" t="s">
        <v>116</v>
      </c>
      <c r="E98">
        <f t="shared" ref="E98:E104" si="33">N16</f>
        <v>0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 spans="4:17">
      <c r="D99" t="s">
        <v>117</v>
      </c>
      <c r="E99">
        <f t="shared" si="33"/>
        <v>0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4:17">
      <c r="D100" t="s">
        <v>118</v>
      </c>
      <c r="E100">
        <f t="shared" si="33"/>
        <v>0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4:17">
      <c r="D101" t="s">
        <v>119</v>
      </c>
      <c r="E101">
        <f t="shared" si="33"/>
        <v>0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 spans="4:17">
      <c r="D102" t="s">
        <v>120</v>
      </c>
      <c r="E102">
        <f t="shared" si="33"/>
        <v>0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4:17">
      <c r="D103" t="s">
        <v>121</v>
      </c>
      <c r="E103">
        <f t="shared" si="33"/>
        <v>0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4:17">
      <c r="D104" t="s">
        <v>122</v>
      </c>
      <c r="E104">
        <f t="shared" si="33"/>
        <v>0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7:17"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7:17"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7:17"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</row>
    <row r="108" ht="17.6" spans="7:17">
      <c r="G108" s="23"/>
      <c r="H108" s="23"/>
      <c r="I108" s="46"/>
      <c r="J108" s="46"/>
      <c r="K108" s="46"/>
      <c r="L108" s="46"/>
      <c r="M108" s="46"/>
      <c r="N108" s="46"/>
      <c r="O108" s="46"/>
      <c r="P108" s="46"/>
      <c r="Q108" s="23"/>
    </row>
    <row r="109" ht="17.6" spans="7:17">
      <c r="G109" s="23"/>
      <c r="H109" s="23"/>
      <c r="I109" s="47"/>
      <c r="J109" s="47"/>
      <c r="K109" s="47"/>
      <c r="L109" s="47"/>
      <c r="M109" s="47"/>
      <c r="N109" s="47"/>
      <c r="O109" s="47"/>
      <c r="P109" s="47"/>
      <c r="Q109" s="23"/>
    </row>
    <row r="110" ht="17.6" spans="7:17">
      <c r="G110" s="23"/>
      <c r="H110" s="23"/>
      <c r="I110" s="47"/>
      <c r="J110" s="47"/>
      <c r="K110" s="47"/>
      <c r="L110" s="47"/>
      <c r="M110" s="47"/>
      <c r="N110" s="47"/>
      <c r="O110" s="47"/>
      <c r="P110" s="47"/>
      <c r="Q110" s="23"/>
    </row>
    <row r="111" ht="17.6" spans="7:17">
      <c r="G111" s="23"/>
      <c r="H111" s="23"/>
      <c r="I111" s="47"/>
      <c r="J111" s="47"/>
      <c r="K111" s="47"/>
      <c r="L111" s="47"/>
      <c r="M111" s="47"/>
      <c r="N111" s="47"/>
      <c r="O111" s="47"/>
      <c r="P111" s="47"/>
      <c r="Q111" s="23"/>
    </row>
    <row r="112" spans="7:17"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</row>
    <row r="113" spans="7:17"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</row>
    <row r="114" ht="17.6" spans="7:17">
      <c r="G114" s="23"/>
      <c r="H114" s="23"/>
      <c r="I114" s="46"/>
      <c r="J114" s="46"/>
      <c r="K114" s="46"/>
      <c r="L114" s="46"/>
      <c r="M114" s="46"/>
      <c r="N114" s="46"/>
      <c r="O114" s="46"/>
      <c r="P114" s="46"/>
      <c r="Q114" s="23"/>
    </row>
    <row r="115" ht="17.6" spans="7:17">
      <c r="G115" s="23"/>
      <c r="H115" s="23"/>
      <c r="I115" s="47"/>
      <c r="J115" s="47"/>
      <c r="K115" s="47"/>
      <c r="L115" s="47"/>
      <c r="M115" s="47"/>
      <c r="N115" s="47"/>
      <c r="O115" s="47"/>
      <c r="P115" s="47"/>
      <c r="Q115" s="23"/>
    </row>
    <row r="116" ht="17.6" spans="7:17">
      <c r="G116" s="23"/>
      <c r="H116" s="23"/>
      <c r="I116" s="47"/>
      <c r="J116" s="47"/>
      <c r="K116" s="47"/>
      <c r="L116" s="47"/>
      <c r="M116" s="47"/>
      <c r="N116" s="47"/>
      <c r="O116" s="47"/>
      <c r="P116" s="47"/>
      <c r="Q116" s="23"/>
    </row>
    <row r="117" ht="17.6" spans="7:17">
      <c r="G117" s="23"/>
      <c r="H117" s="23"/>
      <c r="I117" s="47"/>
      <c r="J117" s="47"/>
      <c r="K117" s="47"/>
      <c r="L117" s="47"/>
      <c r="M117" s="47"/>
      <c r="N117" s="47"/>
      <c r="O117" s="47"/>
      <c r="P117" s="47"/>
      <c r="Q117" s="23"/>
    </row>
    <row r="118" spans="7:17"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7:17"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7:17"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7:17"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7:17"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7:17"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</row>
    <row r="124" spans="7:17"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7:17"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7:17"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7:17"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</row>
  </sheetData>
  <mergeCells count="11">
    <mergeCell ref="B2:N2"/>
    <mergeCell ref="P12:Q12"/>
    <mergeCell ref="B13:N13"/>
    <mergeCell ref="D23:F23"/>
    <mergeCell ref="H24:T24"/>
    <mergeCell ref="H25:T25"/>
    <mergeCell ref="H36:T36"/>
    <mergeCell ref="H37:T37"/>
    <mergeCell ref="H48:T48"/>
    <mergeCell ref="H49:T49"/>
    <mergeCell ref="H60:T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xingjianyang</dc:creator>
  <cp:lastModifiedBy>Xingjian</cp:lastModifiedBy>
  <dcterms:created xsi:type="dcterms:W3CDTF">2025-10-24T21:07:00Z</dcterms:created>
  <dcterms:modified xsi:type="dcterms:W3CDTF">2026-04-28T15:16:05Z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7DCC4E4113E0A49D5E0DF169A6D4AF76_43</vt:lpwstr>
  </property>
  <property fmtid="{D5CDD505-2E9C-101B-9397-08002B2CF9AE}" pid="3" name="KSOProductBuildVer">
    <vt:lpwstr>1033-6.11.0.8885</vt:lpwstr>
  </property>
</Properties>
</file>